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FC\Desktop\dio\desafios_de_projeto\"/>
    </mc:Choice>
  </mc:AlternateContent>
  <xr:revisionPtr revIDLastSave="0" documentId="13_ncr:1_{A90E38B0-6A9B-4B6B-B2EF-66BFEC768C5F}" xr6:coauthVersionLast="47" xr6:coauthVersionMax="47" xr10:uidLastSave="{00000000-0000-0000-0000-000000000000}"/>
  <bookViews>
    <workbookView xWindow="-108" yWindow="-108" windowWidth="23256" windowHeight="12456" tabRatio="0" xr2:uid="{25061C52-5246-4463-AB85-769F6BD2DB4C}"/>
  </bookViews>
  <sheets>
    <sheet name="TITULAR" sheetId="1" r:id="rId1"/>
    <sheet name="INFORMES" sheetId="2" r:id="rId2"/>
    <sheet name="NOTAS" sheetId="3" r:id="rId3"/>
    <sheet name="BENS E DIREITOS" sheetId="5" r:id="rId4"/>
    <sheet name="Planilha2" sheetId="6" r:id="rId5"/>
    <sheet name="Planilha1" sheetId="4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5" i="3" l="1"/>
  <c r="D7" i="2"/>
</calcChain>
</file>

<file path=xl/sharedStrings.xml><?xml version="1.0" encoding="utf-8"?>
<sst xmlns="http://schemas.openxmlformats.org/spreadsheetml/2006/main" count="154" uniqueCount="116">
  <si>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</si>
  <si>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</si>
  <si>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</si>
  <si>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</si>
  <si>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</si>
  <si>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</si>
  <si>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</si>
  <si>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</si>
  <si>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</si>
  <si>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</si>
  <si>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</si>
  <si>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ANERIOR</t>
  </si>
  <si>
    <t>DEPENDENTE CÔNJUGE</t>
  </si>
  <si>
    <t>RESIDENTE DO EXTERIOR</t>
  </si>
  <si>
    <t>1. Dados do Títular</t>
  </si>
  <si>
    <t>Insira os dados da pessoa fisica no campo da direita</t>
  </si>
  <si>
    <t>NÃO</t>
  </si>
  <si>
    <t>SIM</t>
  </si>
  <si>
    <t>Otávio Jordão</t>
  </si>
  <si>
    <t>Diná Toledo</t>
  </si>
  <si>
    <t>Rua Lúcio Simões nº11</t>
  </si>
  <si>
    <t>R. Lúcio S nº11</t>
  </si>
  <si>
    <t>ojordao@gmail.com</t>
  </si>
  <si>
    <t>2. Informes de Rendimentos Bancários</t>
  </si>
  <si>
    <t>Preencha com seus dados atuais de cada banco</t>
  </si>
  <si>
    <t>BANCO</t>
  </si>
  <si>
    <t>VALOR ATUAL</t>
  </si>
  <si>
    <t>ANEXO</t>
  </si>
  <si>
    <t>BANCOBB.pdf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</si>
  <si>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</si>
  <si>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</si>
  <si>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</si>
  <si>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</si>
  <si>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</si>
  <si>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</si>
  <si>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</si>
  <si>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</si>
  <si>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</si>
  <si>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</si>
  <si>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</si>
  <si>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</si>
  <si>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</si>
  <si>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</si>
  <si>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</si>
  <si>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</si>
  <si>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</si>
  <si>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</si>
  <si>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</si>
  <si>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</si>
  <si>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</si>
  <si>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</si>
  <si>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</si>
  <si>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</si>
  <si>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</si>
  <si>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</si>
  <si>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</si>
  <si>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</si>
  <si>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</si>
  <si>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</si>
  <si>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</si>
  <si>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</si>
  <si>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</si>
  <si>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</si>
  <si>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</si>
  <si>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</si>
  <si>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</si>
  <si>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</si>
  <si>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</si>
  <si>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</si>
  <si>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</si>
  <si>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</si>
  <si>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</si>
  <si>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</si>
  <si>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</si>
  <si>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</si>
  <si>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</si>
  <si>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</si>
  <si>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</si>
  <si>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</si>
  <si>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</si>
  <si>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BANCOBTG.pdf</t>
  </si>
  <si>
    <t>BANCOITA.pdf</t>
  </si>
  <si>
    <t>TOTAL</t>
  </si>
  <si>
    <t>São todos os valores de entrada mensal de receita</t>
  </si>
  <si>
    <t>3. Notas Bancárias ou Extratos de Holerite</t>
  </si>
  <si>
    <t>ENTRADAS</t>
  </si>
  <si>
    <t>DATA</t>
  </si>
  <si>
    <t>CATEGORIA</t>
  </si>
  <si>
    <t>VALOR</t>
  </si>
  <si>
    <t>Holerite</t>
  </si>
  <si>
    <t>Freelancer</t>
  </si>
  <si>
    <t>4. Declarção de Bens e Direitos</t>
  </si>
  <si>
    <t>São todos os itens que compõem seu patrimônio</t>
  </si>
  <si>
    <t xml:space="preserve">Grupo 1 - Bens Imóveis </t>
  </si>
  <si>
    <t>Casa</t>
  </si>
  <si>
    <t>Tipo</t>
  </si>
  <si>
    <t xml:space="preserve">Grupo 2 - Bens Móveis </t>
  </si>
  <si>
    <t>Grupo 3 - Participação Societária</t>
  </si>
  <si>
    <t>Grupo 4 - Aplicações e Investimentos</t>
  </si>
  <si>
    <t>Apartamento</t>
  </si>
  <si>
    <t>Terreno</t>
  </si>
  <si>
    <t>Sala comercial</t>
  </si>
  <si>
    <t>Veículo</t>
  </si>
  <si>
    <t>Aeronave</t>
  </si>
  <si>
    <t>Barco</t>
  </si>
  <si>
    <t>Joia</t>
  </si>
  <si>
    <t>Obra de arte</t>
  </si>
  <si>
    <t>Móveis</t>
  </si>
  <si>
    <t>Ações</t>
  </si>
  <si>
    <t>Quotas ou Quinhões de Capital de Empresas</t>
  </si>
  <si>
    <t>CDBs</t>
  </si>
  <si>
    <t>Tesouro Direto</t>
  </si>
  <si>
    <t>Poupança</t>
  </si>
  <si>
    <t xml:space="preserve">Debêntures </t>
  </si>
  <si>
    <t>Valor última declaração :</t>
  </si>
  <si>
    <t>Valor atual: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</si>
</sst>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5"/>
      <color rgb="FF04261E"/>
      <name val="Aptos Narrow"/>
      <family val="2"/>
      <scheme val="minor"/>
    </font>
    <font>
      <b/>
      <sz val="15"/>
      <color rgb="FF084A24"/>
      <name val="Aptos Narrow"/>
      <family val="2"/>
      <scheme val="minor"/>
    </font>
    <font>
      <b/>
      <sz val="11"/>
      <color rgb="FF04261E"/>
      <name val="Aptos Narrow"/>
      <family val="2"/>
      <scheme val="minor"/>
    </font>
    <font>
      <sz val="11"/>
      <color rgb="FF04261E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84A24"/>
      <name val="Aptos Narrow"/>
      <family val="2"/>
      <scheme val="minor"/>
    </font>
    <font>
      <sz val="11"/>
      <color rgb="FF08080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2EDD5"/>
        <bgColor indexed="64"/>
      </patternFill>
    </fill>
    <fill>
      <patternFill patternType="solid">
        <fgColor rgb="FFF26716"/>
        <bgColor indexed="64"/>
      </patternFill>
    </fill>
    <fill>
      <patternFill patternType="solid">
        <fgColor rgb="FFF58C51"/>
        <bgColor indexed="64"/>
      </patternFill>
    </fill>
    <fill>
      <patternFill patternType="solid">
        <fgColor rgb="FF04261E"/>
        <bgColor indexed="64"/>
      </patternFill>
    </fill>
    <fill>
      <patternFill patternType="solid">
        <fgColor rgb="FF084A2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/>
    <xf numFmtId="0" fontId="3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1" xfId="1" applyFont="1"/>
    <xf numFmtId="0" fontId="0" fillId="6" borderId="0" xfId="0" applyFill="1"/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167" fontId="0" fillId="3" borderId="2" xfId="0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0" fontId="2" fillId="3" borderId="2" xfId="2" applyFill="1" applyBorder="1" applyAlignment="1">
      <alignment horizontal="left"/>
    </xf>
    <xf numFmtId="0" fontId="3" fillId="7" borderId="2" xfId="0" applyFont="1" applyFill="1" applyBorder="1" applyAlignment="1">
      <alignment horizontal="right"/>
    </xf>
    <xf numFmtId="0" fontId="7" fillId="0" borderId="1" xfId="1" applyFont="1"/>
    <xf numFmtId="0" fontId="4" fillId="6" borderId="0" xfId="0" applyFont="1" applyFill="1"/>
    <xf numFmtId="168" fontId="0" fillId="3" borderId="2" xfId="0" applyNumberForma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8" fontId="9" fillId="0" borderId="0" xfId="0" applyNumberFormat="1" applyFont="1"/>
    <xf numFmtId="14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168" fontId="9" fillId="3" borderId="0" xfId="0" applyNumberFormat="1" applyFont="1" applyFill="1"/>
    <xf numFmtId="14" fontId="9" fillId="8" borderId="0" xfId="0" applyNumberFormat="1" applyFont="1" applyFill="1" applyAlignment="1">
      <alignment horizontal="center"/>
    </xf>
    <xf numFmtId="0" fontId="9" fillId="8" borderId="0" xfId="0" applyFont="1" applyFill="1" applyAlignment="1">
      <alignment horizontal="center"/>
    </xf>
    <xf numFmtId="168" fontId="9" fillId="8" borderId="0" xfId="0" applyNumberFormat="1" applyFont="1" applyFill="1"/>
    <xf numFmtId="0" fontId="9" fillId="0" borderId="0" xfId="0" applyFont="1"/>
    <xf numFmtId="0" fontId="0" fillId="0" borderId="0" xfId="0" applyAlignment="1">
      <alignment wrapText="1"/>
    </xf>
    <xf numFmtId="0" fontId="7" fillId="0" borderId="4" xfId="1" applyFont="1" applyBorder="1"/>
    <xf numFmtId="0" fontId="11" fillId="0" borderId="4" xfId="0" applyFont="1" applyBorder="1"/>
    <xf numFmtId="168" fontId="12" fillId="3" borderId="0" xfId="0" applyNumberFormat="1" applyFont="1" applyFill="1"/>
    <xf numFmtId="0" fontId="12" fillId="3" borderId="0" xfId="0" applyFont="1" applyFill="1"/>
    <xf numFmtId="0" fontId="5" fillId="5" borderId="3" xfId="0" applyFont="1" applyFill="1" applyBorder="1" applyAlignment="1">
      <alignment horizontal="left"/>
    </xf>
    <xf numFmtId="168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left" indent="1"/>
    </xf>
    <xf numFmtId="0" fontId="10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Título 1" xfId="1" builtinId="16"/>
  </cellStyles>
  <dxfs count="24"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numFmt numFmtId="168" formatCode="&quot;R$&quot;\ #,##0.00"/>
      <fill>
        <patternFill patternType="solid">
          <fgColor indexed="64"/>
          <bgColor rgb="FFF2EDD5"/>
        </patternFill>
      </fill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80808"/>
        <name val="Aptos Narrow"/>
        <family val="2"/>
        <scheme val="minor"/>
      </font>
      <fill>
        <patternFill patternType="solid">
          <fgColor indexed="64"/>
          <bgColor rgb="FFF2ED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  <numFmt numFmtId="168" formatCode="&quot;R$&quot;\ #,##0.00"/>
    </dxf>
    <dxf>
      <font>
        <strike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4261E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80808"/>
      <color rgb="FF084A24"/>
      <color rgb="FF04261E"/>
      <color rgb="FFF2EDD5"/>
      <color rgb="FFF58C51"/>
      <color rgb="FFE7390D"/>
      <color rgb="FFF267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'BENS E DIREITOS'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BENS E DIREITOS'!C1"/><Relationship Id="rId3" Type="http://schemas.openxmlformats.org/officeDocument/2006/relationships/hyperlink" Target="#NOTAS!C1"/><Relationship Id="rId7" Type="http://schemas.openxmlformats.org/officeDocument/2006/relationships/image" Target="../media/image2.sv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1.png"/><Relationship Id="rId5" Type="http://schemas.openxmlformats.org/officeDocument/2006/relationships/hyperlink" Target="#TI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BENS E DIREITOS'!A1"/><Relationship Id="rId3" Type="http://schemas.openxmlformats.org/officeDocument/2006/relationships/hyperlink" Target="#NOTAS!C1"/><Relationship Id="rId7" Type="http://schemas.openxmlformats.org/officeDocument/2006/relationships/hyperlink" Target="#'BENS E DIREITOS'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hyperlink" Target="#NOTA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'BENS E DIREITOS'!C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87630</xdr:colOff>
      <xdr:row>9</xdr:row>
      <xdr:rowOff>152400</xdr:rowOff>
    </xdr:from>
    <xdr:to>
      <xdr:col>0</xdr:col>
      <xdr:colOff>2137410</xdr:colOff>
      <xdr:row>11</xdr:row>
      <xdr:rowOff>175260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1689B-3ECD-1B8F-A316-63C4A96E9FF9}"/>
            </a:ext>
          </a:extLst>
        </xdr:cNvPr>
        <xdr:cNvSpPr/>
      </xdr:nvSpPr>
      <xdr:spPr>
        <a:xfrm>
          <a:off x="87630" y="1943100"/>
          <a:ext cx="2049780" cy="388620"/>
        </a:xfrm>
        <a:prstGeom prst="roundRect">
          <a:avLst/>
        </a:prstGeom>
        <a:solidFill>
          <a:srgbClr val="F58C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TÍTULAR</a:t>
          </a:r>
        </a:p>
      </xdr:txBody>
    </xdr:sp>
    <xdr:clientData/>
  </xdr:twoCellAnchor>
  <xdr:twoCellAnchor editAs="absolute">
    <xdr:from>
      <xdr:col>0</xdr:col>
      <xdr:colOff>87630</xdr:colOff>
      <xdr:row>12</xdr:row>
      <xdr:rowOff>106680</xdr:rowOff>
    </xdr:from>
    <xdr:to>
      <xdr:col>0</xdr:col>
      <xdr:colOff>2137410</xdr:colOff>
      <xdr:row>14</xdr:row>
      <xdr:rowOff>129540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90A4F5-2D24-48B8-A1DE-F9E050E17495}"/>
            </a:ext>
          </a:extLst>
        </xdr:cNvPr>
        <xdr:cNvSpPr/>
      </xdr:nvSpPr>
      <xdr:spPr>
        <a:xfrm>
          <a:off x="87630" y="2446020"/>
          <a:ext cx="2049780" cy="388620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INFORMES </a:t>
          </a:r>
        </a:p>
      </xdr:txBody>
    </xdr:sp>
    <xdr:clientData/>
  </xdr:twoCellAnchor>
  <xdr:twoCellAnchor editAs="absolute">
    <xdr:from>
      <xdr:col>0</xdr:col>
      <xdr:colOff>87630</xdr:colOff>
      <xdr:row>15</xdr:row>
      <xdr:rowOff>60960</xdr:rowOff>
    </xdr:from>
    <xdr:to>
      <xdr:col>0</xdr:col>
      <xdr:colOff>2137410</xdr:colOff>
      <xdr:row>17</xdr:row>
      <xdr:rowOff>83820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1BC6D8-764A-4791-9FD3-9ACD0B56A6D3}"/>
            </a:ext>
          </a:extLst>
        </xdr:cNvPr>
        <xdr:cNvSpPr/>
      </xdr:nvSpPr>
      <xdr:spPr>
        <a:xfrm>
          <a:off x="87630" y="2948940"/>
          <a:ext cx="2049780" cy="388620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NOTAS</a:t>
          </a:r>
        </a:p>
      </xdr:txBody>
    </xdr:sp>
    <xdr:clientData/>
  </xdr:twoCellAnchor>
  <xdr:twoCellAnchor>
    <xdr:from>
      <xdr:col>4</xdr:col>
      <xdr:colOff>91440</xdr:colOff>
      <xdr:row>21</xdr:row>
      <xdr:rowOff>53340</xdr:rowOff>
    </xdr:from>
    <xdr:to>
      <xdr:col>4</xdr:col>
      <xdr:colOff>2522220</xdr:colOff>
      <xdr:row>23</xdr:row>
      <xdr:rowOff>122133</xdr:rowOff>
    </xdr:to>
    <xdr:sp macro="" textlink="">
      <xdr:nvSpPr>
        <xdr:cNvPr id="2" name="Retângulo: Cantos Arredondados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6275A1-D39A-F69E-FB4D-9E0840C84BCD}"/>
            </a:ext>
          </a:extLst>
        </xdr:cNvPr>
        <xdr:cNvSpPr/>
      </xdr:nvSpPr>
      <xdr:spPr>
        <a:xfrm>
          <a:off x="6118860" y="4038600"/>
          <a:ext cx="2430780" cy="434553"/>
        </a:xfrm>
        <a:prstGeom prst="roundRect">
          <a:avLst/>
        </a:prstGeom>
        <a:solidFill>
          <a:srgbClr val="F58C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600"/>
            <a:t>PRÓXIMO</a:t>
          </a:r>
          <a:endParaRPr lang="pt-BR" sz="1050"/>
        </a:p>
      </xdr:txBody>
    </xdr:sp>
    <xdr:clientData/>
  </xdr:twoCellAnchor>
  <xdr:twoCellAnchor editAs="oneCell">
    <xdr:from>
      <xdr:col>0</xdr:col>
      <xdr:colOff>403860</xdr:colOff>
      <xdr:row>1</xdr:row>
      <xdr:rowOff>45720</xdr:rowOff>
    </xdr:from>
    <xdr:to>
      <xdr:col>0</xdr:col>
      <xdr:colOff>1790700</xdr:colOff>
      <xdr:row>8</xdr:row>
      <xdr:rowOff>7620</xdr:rowOff>
    </xdr:to>
    <xdr:pic>
      <xdr:nvPicPr>
        <xdr:cNvPr id="4" name="Gráfico 3" descr="Leão estrutura de tópicos">
          <a:extLst>
            <a:ext uri="{FF2B5EF4-FFF2-40B4-BE49-F238E27FC236}">
              <a16:creationId xmlns:a16="http://schemas.microsoft.com/office/drawing/2014/main" id="{2EE27454-C616-96E4-F17A-5B23A509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3860" y="2286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17</xdr:row>
      <xdr:rowOff>175260</xdr:rowOff>
    </xdr:from>
    <xdr:to>
      <xdr:col>0</xdr:col>
      <xdr:colOff>2156460</xdr:colOff>
      <xdr:row>20</xdr:row>
      <xdr:rowOff>15240</xdr:rowOff>
    </xdr:to>
    <xdr:sp macro="" textlink="">
      <xdr:nvSpPr>
        <xdr:cNvPr id="3" name="Retângulo: Cantos Arredondados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AF7AEA0-7362-4802-8CA9-2E1C94CD7A50}"/>
            </a:ext>
          </a:extLst>
        </xdr:cNvPr>
        <xdr:cNvSpPr/>
      </xdr:nvSpPr>
      <xdr:spPr>
        <a:xfrm>
          <a:off x="106680" y="3429000"/>
          <a:ext cx="2049780" cy="388620"/>
        </a:xfrm>
        <a:prstGeom prst="roundRect">
          <a:avLst/>
        </a:prstGeom>
        <a:solidFill>
          <a:srgbClr val="0426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BENS</a:t>
          </a:r>
          <a:r>
            <a:rPr lang="pt-BR" sz="1100" b="1" baseline="0">
              <a:latin typeface="Yu Gothic UI Semibold" panose="020B0700000000000000" pitchFamily="34" charset="-128"/>
              <a:ea typeface="Yu Gothic UI Semibold" panose="020B0700000000000000" pitchFamily="34" charset="-128"/>
            </a:rPr>
            <a:t> E DIREITOS</a:t>
          </a:r>
          <a:endParaRPr lang="pt-BR" sz="1100" b="1">
            <a:latin typeface="Yu Gothic UI Semibold" panose="020B0700000000000000" pitchFamily="34" charset="-128"/>
            <a:ea typeface="Yu Gothic UI Semibold" panose="020B0700000000000000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87630</xdr:colOff>
      <xdr:row>9</xdr:row>
      <xdr:rowOff>152400</xdr:rowOff>
    </xdr:from>
    <xdr:to>
      <xdr:col>0</xdr:col>
      <xdr:colOff>2137410</xdr:colOff>
      <xdr:row>11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C5D3D-9A1D-4812-AC45-203CF4CFB403}"/>
            </a:ext>
          </a:extLst>
        </xdr:cNvPr>
        <xdr:cNvSpPr/>
      </xdr:nvSpPr>
      <xdr:spPr>
        <a:xfrm>
          <a:off x="87630" y="1943100"/>
          <a:ext cx="204978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TÍTULAR</a:t>
          </a:r>
        </a:p>
      </xdr:txBody>
    </xdr:sp>
    <xdr:clientData/>
  </xdr:twoCellAnchor>
  <xdr:twoCellAnchor editAs="absolute">
    <xdr:from>
      <xdr:col>0</xdr:col>
      <xdr:colOff>87630</xdr:colOff>
      <xdr:row>12</xdr:row>
      <xdr:rowOff>106680</xdr:rowOff>
    </xdr:from>
    <xdr:to>
      <xdr:col>0</xdr:col>
      <xdr:colOff>2137410</xdr:colOff>
      <xdr:row>14</xdr:row>
      <xdr:rowOff>129540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175074-FBC6-462C-90B4-0AE96ED8EF18}"/>
            </a:ext>
          </a:extLst>
        </xdr:cNvPr>
        <xdr:cNvSpPr/>
      </xdr:nvSpPr>
      <xdr:spPr>
        <a:xfrm>
          <a:off x="87630" y="2446020"/>
          <a:ext cx="2049780" cy="388620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INFORMES </a:t>
          </a:r>
        </a:p>
      </xdr:txBody>
    </xdr:sp>
    <xdr:clientData/>
  </xdr:twoCellAnchor>
  <xdr:twoCellAnchor editAs="absolute">
    <xdr:from>
      <xdr:col>0</xdr:col>
      <xdr:colOff>87630</xdr:colOff>
      <xdr:row>15</xdr:row>
      <xdr:rowOff>60960</xdr:rowOff>
    </xdr:from>
    <xdr:to>
      <xdr:col>0</xdr:col>
      <xdr:colOff>2137410</xdr:colOff>
      <xdr:row>17</xdr:row>
      <xdr:rowOff>83820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2659C9-5189-4606-8BEB-2D1FE2FA70B1}"/>
            </a:ext>
          </a:extLst>
        </xdr:cNvPr>
        <xdr:cNvSpPr/>
      </xdr:nvSpPr>
      <xdr:spPr>
        <a:xfrm>
          <a:off x="87630" y="2948940"/>
          <a:ext cx="2049780" cy="388620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NOTAS</a:t>
          </a:r>
        </a:p>
      </xdr:txBody>
    </xdr:sp>
    <xdr:clientData/>
  </xdr:twoCellAnchor>
  <xdr:twoCellAnchor>
    <xdr:from>
      <xdr:col>4</xdr:col>
      <xdr:colOff>79112</xdr:colOff>
      <xdr:row>20</xdr:row>
      <xdr:rowOff>41014</xdr:rowOff>
    </xdr:from>
    <xdr:to>
      <xdr:col>4</xdr:col>
      <xdr:colOff>2509112</xdr:colOff>
      <xdr:row>22</xdr:row>
      <xdr:rowOff>110854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3EE77E-ACF3-47CF-A52C-776E3A98862F}"/>
            </a:ext>
          </a:extLst>
        </xdr:cNvPr>
        <xdr:cNvSpPr/>
      </xdr:nvSpPr>
      <xdr:spPr>
        <a:xfrm>
          <a:off x="6107290" y="3855004"/>
          <a:ext cx="2430000" cy="436876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PRÓXIMO</a:t>
          </a:r>
          <a:endParaRPr kumimoji="0" lang="pt-BR" sz="105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38100</xdr:colOff>
      <xdr:row>20</xdr:row>
      <xdr:rowOff>53340</xdr:rowOff>
    </xdr:from>
    <xdr:to>
      <xdr:col>3</xdr:col>
      <xdr:colOff>2468100</xdr:colOff>
      <xdr:row>22</xdr:row>
      <xdr:rowOff>123180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4C679C-E110-480D-A9AA-94D25DA24E90}"/>
            </a:ext>
          </a:extLst>
        </xdr:cNvPr>
        <xdr:cNvSpPr/>
      </xdr:nvSpPr>
      <xdr:spPr>
        <a:xfrm>
          <a:off x="3474720" y="3794760"/>
          <a:ext cx="2430000" cy="435600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ANTERIOR</a:t>
          </a:r>
        </a:p>
      </xdr:txBody>
    </xdr:sp>
    <xdr:clientData/>
  </xdr:twoCellAnchor>
  <xdr:twoCellAnchor editAs="oneCell">
    <xdr:from>
      <xdr:col>0</xdr:col>
      <xdr:colOff>403860</xdr:colOff>
      <xdr:row>1</xdr:row>
      <xdr:rowOff>45720</xdr:rowOff>
    </xdr:from>
    <xdr:to>
      <xdr:col>0</xdr:col>
      <xdr:colOff>1790700</xdr:colOff>
      <xdr:row>8</xdr:row>
      <xdr:rowOff>7620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FA6E5E3B-B9DF-45CE-B0E7-7B48FCDD5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03860" y="2286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17</xdr:row>
      <xdr:rowOff>175260</xdr:rowOff>
    </xdr:from>
    <xdr:to>
      <xdr:col>0</xdr:col>
      <xdr:colOff>2156460</xdr:colOff>
      <xdr:row>20</xdr:row>
      <xdr:rowOff>15240</xdr:rowOff>
    </xdr:to>
    <xdr:sp macro="" textlink="">
      <xdr:nvSpPr>
        <xdr:cNvPr id="3" name="Retângulo: Cantos Arredondados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8D50A0-0228-4F8E-B7D1-A0B07607A870}"/>
            </a:ext>
          </a:extLst>
        </xdr:cNvPr>
        <xdr:cNvSpPr/>
      </xdr:nvSpPr>
      <xdr:spPr>
        <a:xfrm>
          <a:off x="106680" y="3429000"/>
          <a:ext cx="2049780" cy="388620"/>
        </a:xfrm>
        <a:prstGeom prst="roundRect">
          <a:avLst/>
        </a:prstGeom>
        <a:solidFill>
          <a:srgbClr val="0426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BENS</a:t>
          </a:r>
          <a:r>
            <a:rPr lang="pt-BR" sz="1100" b="1" baseline="0">
              <a:latin typeface="Yu Gothic UI Semibold" panose="020B0700000000000000" pitchFamily="34" charset="-128"/>
              <a:ea typeface="Yu Gothic UI Semibold" panose="020B0700000000000000" pitchFamily="34" charset="-128"/>
            </a:rPr>
            <a:t> E DIREITOS</a:t>
          </a:r>
          <a:endParaRPr lang="pt-BR" sz="1100" b="1">
            <a:latin typeface="Yu Gothic UI Semibold" panose="020B0700000000000000" pitchFamily="34" charset="-128"/>
            <a:ea typeface="Yu Gothic UI Semibold" panose="020B0700000000000000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87630</xdr:colOff>
      <xdr:row>9</xdr:row>
      <xdr:rowOff>152400</xdr:rowOff>
    </xdr:from>
    <xdr:to>
      <xdr:col>0</xdr:col>
      <xdr:colOff>2137410</xdr:colOff>
      <xdr:row>11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0E3C5E-52CF-478F-85B6-3F1A20AC8646}"/>
            </a:ext>
          </a:extLst>
        </xdr:cNvPr>
        <xdr:cNvSpPr/>
      </xdr:nvSpPr>
      <xdr:spPr>
        <a:xfrm>
          <a:off x="87630" y="1943100"/>
          <a:ext cx="204978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TÍTULAR</a:t>
          </a:r>
        </a:p>
      </xdr:txBody>
    </xdr:sp>
    <xdr:clientData/>
  </xdr:twoCellAnchor>
  <xdr:twoCellAnchor editAs="absolute">
    <xdr:from>
      <xdr:col>0</xdr:col>
      <xdr:colOff>87630</xdr:colOff>
      <xdr:row>12</xdr:row>
      <xdr:rowOff>106680</xdr:rowOff>
    </xdr:from>
    <xdr:to>
      <xdr:col>0</xdr:col>
      <xdr:colOff>2137410</xdr:colOff>
      <xdr:row>14</xdr:row>
      <xdr:rowOff>129540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B8348E-1C8C-4B99-8F03-5510FF0004DE}"/>
            </a:ext>
          </a:extLst>
        </xdr:cNvPr>
        <xdr:cNvSpPr/>
      </xdr:nvSpPr>
      <xdr:spPr>
        <a:xfrm>
          <a:off x="87630" y="2446020"/>
          <a:ext cx="2049780" cy="388620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INFORMES </a:t>
          </a:r>
        </a:p>
      </xdr:txBody>
    </xdr:sp>
    <xdr:clientData/>
  </xdr:twoCellAnchor>
  <xdr:twoCellAnchor editAs="absolute">
    <xdr:from>
      <xdr:col>0</xdr:col>
      <xdr:colOff>87630</xdr:colOff>
      <xdr:row>15</xdr:row>
      <xdr:rowOff>60960</xdr:rowOff>
    </xdr:from>
    <xdr:to>
      <xdr:col>0</xdr:col>
      <xdr:colOff>2137410</xdr:colOff>
      <xdr:row>17</xdr:row>
      <xdr:rowOff>83820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693B2B-6693-432D-A89D-B4403486C29C}"/>
            </a:ext>
          </a:extLst>
        </xdr:cNvPr>
        <xdr:cNvSpPr/>
      </xdr:nvSpPr>
      <xdr:spPr>
        <a:xfrm>
          <a:off x="87630" y="2948940"/>
          <a:ext cx="2049780" cy="388620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NOTAS</a:t>
          </a:r>
        </a:p>
      </xdr:txBody>
    </xdr:sp>
    <xdr:clientData/>
  </xdr:twoCellAnchor>
  <xdr:twoCellAnchor editAs="absolute">
    <xdr:from>
      <xdr:col>3</xdr:col>
      <xdr:colOff>14460</xdr:colOff>
      <xdr:row>25</xdr:row>
      <xdr:rowOff>68580</xdr:rowOff>
    </xdr:from>
    <xdr:to>
      <xdr:col>4</xdr:col>
      <xdr:colOff>266700</xdr:colOff>
      <xdr:row>27</xdr:row>
      <xdr:rowOff>138420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CA8E45-0A20-4DCE-8862-1A03C01D079C}"/>
            </a:ext>
          </a:extLst>
        </xdr:cNvPr>
        <xdr:cNvSpPr/>
      </xdr:nvSpPr>
      <xdr:spPr>
        <a:xfrm>
          <a:off x="3451080" y="4785360"/>
          <a:ext cx="1852440" cy="435600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ANTERIOR</a:t>
          </a:r>
        </a:p>
      </xdr:txBody>
    </xdr:sp>
    <xdr:clientData/>
  </xdr:twoCellAnchor>
  <xdr:twoCellAnchor editAs="oneCell">
    <xdr:from>
      <xdr:col>0</xdr:col>
      <xdr:colOff>403860</xdr:colOff>
      <xdr:row>1</xdr:row>
      <xdr:rowOff>45720</xdr:rowOff>
    </xdr:from>
    <xdr:to>
      <xdr:col>0</xdr:col>
      <xdr:colOff>1790700</xdr:colOff>
      <xdr:row>8</xdr:row>
      <xdr:rowOff>7620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3C9C49B0-EA43-48A4-95FB-1708DF742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3860" y="2286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17</xdr:row>
      <xdr:rowOff>175260</xdr:rowOff>
    </xdr:from>
    <xdr:to>
      <xdr:col>0</xdr:col>
      <xdr:colOff>2156460</xdr:colOff>
      <xdr:row>20</xdr:row>
      <xdr:rowOff>15240</xdr:rowOff>
    </xdr:to>
    <xdr:sp macro="" textlink="">
      <xdr:nvSpPr>
        <xdr:cNvPr id="3" name="Retângulo: Cantos Arredondados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A4AC00-EE56-4E77-A6CA-458CA087323B}"/>
            </a:ext>
          </a:extLst>
        </xdr:cNvPr>
        <xdr:cNvSpPr/>
      </xdr:nvSpPr>
      <xdr:spPr>
        <a:xfrm>
          <a:off x="106680" y="3429000"/>
          <a:ext cx="2049780" cy="388620"/>
        </a:xfrm>
        <a:prstGeom prst="roundRect">
          <a:avLst/>
        </a:prstGeom>
        <a:solidFill>
          <a:srgbClr val="0426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BENS</a:t>
          </a:r>
          <a:r>
            <a:rPr lang="pt-BR" sz="1100" b="1" baseline="0">
              <a:latin typeface="Yu Gothic UI Semibold" panose="020B0700000000000000" pitchFamily="34" charset="-128"/>
              <a:ea typeface="Yu Gothic UI Semibold" panose="020B0700000000000000" pitchFamily="34" charset="-128"/>
            </a:rPr>
            <a:t> E DIREITOS</a:t>
          </a:r>
          <a:endParaRPr lang="pt-BR" sz="1100" b="1">
            <a:latin typeface="Yu Gothic UI Semibold" panose="020B0700000000000000" pitchFamily="34" charset="-128"/>
            <a:ea typeface="Yu Gothic UI Semibold" panose="020B0700000000000000" pitchFamily="34" charset="-128"/>
          </a:endParaRPr>
        </a:p>
      </xdr:txBody>
    </xdr:sp>
    <xdr:clientData/>
  </xdr:twoCellAnchor>
  <xdr:twoCellAnchor editAs="absolute">
    <xdr:from>
      <xdr:col>4</xdr:col>
      <xdr:colOff>1508760</xdr:colOff>
      <xdr:row>25</xdr:row>
      <xdr:rowOff>76200</xdr:rowOff>
    </xdr:from>
    <xdr:to>
      <xdr:col>6</xdr:col>
      <xdr:colOff>25200</xdr:colOff>
      <xdr:row>27</xdr:row>
      <xdr:rowOff>146040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34BA6E-DAAD-7801-B6D5-CEE6765041B1}"/>
            </a:ext>
          </a:extLst>
        </xdr:cNvPr>
        <xdr:cNvSpPr/>
      </xdr:nvSpPr>
      <xdr:spPr>
        <a:xfrm>
          <a:off x="6545580" y="4792980"/>
          <a:ext cx="1854000" cy="435600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PRÓXIMO</a:t>
          </a:r>
          <a:endParaRPr kumimoji="0" lang="pt-BR" sz="105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1</xdr:row>
      <xdr:rowOff>45720</xdr:rowOff>
    </xdr:from>
    <xdr:to>
      <xdr:col>0</xdr:col>
      <xdr:colOff>1790700</xdr:colOff>
      <xdr:row>7</xdr:row>
      <xdr:rowOff>137160</xdr:rowOff>
    </xdr:to>
    <xdr:pic>
      <xdr:nvPicPr>
        <xdr:cNvPr id="7" name="Gráfico 6" descr="Leão estrutura de tópicos">
          <a:extLst>
            <a:ext uri="{FF2B5EF4-FFF2-40B4-BE49-F238E27FC236}">
              <a16:creationId xmlns:a16="http://schemas.microsoft.com/office/drawing/2014/main" id="{7DF2BB8E-FF61-4E13-A417-C3115DE9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3860" y="2286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91440</xdr:colOff>
      <xdr:row>9</xdr:row>
      <xdr:rowOff>106680</xdr:rowOff>
    </xdr:from>
    <xdr:to>
      <xdr:col>0</xdr:col>
      <xdr:colOff>2141220</xdr:colOff>
      <xdr:row>11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96AA4D-E778-4820-AD62-2499BEFAE221}"/>
            </a:ext>
          </a:extLst>
        </xdr:cNvPr>
        <xdr:cNvSpPr/>
      </xdr:nvSpPr>
      <xdr:spPr>
        <a:xfrm>
          <a:off x="91440" y="1950720"/>
          <a:ext cx="2049780" cy="388620"/>
        </a:xfrm>
        <a:prstGeom prst="roundRect">
          <a:avLst/>
        </a:prstGeom>
        <a:solidFill>
          <a:srgbClr val="0426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TÍTULAR</a:t>
          </a:r>
        </a:p>
      </xdr:txBody>
    </xdr:sp>
    <xdr:clientData/>
  </xdr:twoCellAnchor>
  <xdr:twoCellAnchor editAs="absolute">
    <xdr:from>
      <xdr:col>0</xdr:col>
      <xdr:colOff>91440</xdr:colOff>
      <xdr:row>12</xdr:row>
      <xdr:rowOff>45720</xdr:rowOff>
    </xdr:from>
    <xdr:to>
      <xdr:col>0</xdr:col>
      <xdr:colOff>2141220</xdr:colOff>
      <xdr:row>14</xdr:row>
      <xdr:rowOff>53340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4684E8-A028-478C-B75F-6C3577EF44B8}"/>
            </a:ext>
          </a:extLst>
        </xdr:cNvPr>
        <xdr:cNvSpPr/>
      </xdr:nvSpPr>
      <xdr:spPr>
        <a:xfrm>
          <a:off x="91440" y="2453640"/>
          <a:ext cx="2049780" cy="388620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INFORMES </a:t>
          </a:r>
        </a:p>
      </xdr:txBody>
    </xdr:sp>
    <xdr:clientData/>
  </xdr:twoCellAnchor>
  <xdr:twoCellAnchor editAs="absolute">
    <xdr:from>
      <xdr:col>0</xdr:col>
      <xdr:colOff>91440</xdr:colOff>
      <xdr:row>14</xdr:row>
      <xdr:rowOff>167640</xdr:rowOff>
    </xdr:from>
    <xdr:to>
      <xdr:col>0</xdr:col>
      <xdr:colOff>2141220</xdr:colOff>
      <xdr:row>17</xdr:row>
      <xdr:rowOff>7620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BAB5BD-BD27-43A9-8A76-72C7CEF45814}"/>
            </a:ext>
          </a:extLst>
        </xdr:cNvPr>
        <xdr:cNvSpPr/>
      </xdr:nvSpPr>
      <xdr:spPr>
        <a:xfrm>
          <a:off x="91440" y="2956560"/>
          <a:ext cx="2049780" cy="388620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17</xdr:row>
      <xdr:rowOff>99060</xdr:rowOff>
    </xdr:from>
    <xdr:to>
      <xdr:col>0</xdr:col>
      <xdr:colOff>2156460</xdr:colOff>
      <xdr:row>19</xdr:row>
      <xdr:rowOff>106680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80A687-A840-4143-996D-0693B38B6AC7}"/>
            </a:ext>
          </a:extLst>
        </xdr:cNvPr>
        <xdr:cNvSpPr/>
      </xdr:nvSpPr>
      <xdr:spPr>
        <a:xfrm>
          <a:off x="106680" y="3436620"/>
          <a:ext cx="2049780" cy="388620"/>
        </a:xfrm>
        <a:prstGeom prst="roundRect">
          <a:avLst/>
        </a:prstGeom>
        <a:solidFill>
          <a:srgbClr val="F58C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Yu Gothic UI Semibold" panose="020B0700000000000000" pitchFamily="34" charset="-128"/>
              <a:ea typeface="Yu Gothic UI Semibold" panose="020B0700000000000000" pitchFamily="34" charset="-128"/>
            </a:rPr>
            <a:t>BENS</a:t>
          </a:r>
          <a:r>
            <a:rPr lang="pt-BR" sz="1100" b="1" baseline="0">
              <a:latin typeface="Yu Gothic UI Semibold" panose="020B0700000000000000" pitchFamily="34" charset="-128"/>
              <a:ea typeface="Yu Gothic UI Semibold" panose="020B0700000000000000" pitchFamily="34" charset="-128"/>
            </a:rPr>
            <a:t> E DIREITOS</a:t>
          </a:r>
          <a:endParaRPr lang="pt-BR" sz="1100" b="1">
            <a:latin typeface="Yu Gothic UI Semibold" panose="020B0700000000000000" pitchFamily="34" charset="-128"/>
            <a:ea typeface="Yu Gothic UI Semibold" panose="020B0700000000000000" pitchFamily="34" charset="-128"/>
          </a:endParaRPr>
        </a:p>
      </xdr:txBody>
    </xdr:sp>
    <xdr:clientData/>
  </xdr:twoCellAnchor>
  <xdr:twoCellAnchor editAs="absolute">
    <xdr:from>
      <xdr:col>3</xdr:col>
      <xdr:colOff>0</xdr:colOff>
      <xdr:row>22</xdr:row>
      <xdr:rowOff>0</xdr:rowOff>
    </xdr:from>
    <xdr:to>
      <xdr:col>4</xdr:col>
      <xdr:colOff>678960</xdr:colOff>
      <xdr:row>24</xdr:row>
      <xdr:rowOff>69840</xdr:rowOff>
    </xdr:to>
    <xdr:sp macro="" textlink="">
      <xdr:nvSpPr>
        <xdr:cNvPr id="2" name="Retângulo: Cantos Arredondados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905FD0-293E-4BE5-BC51-6B1361FB55B1}"/>
            </a:ext>
          </a:extLst>
        </xdr:cNvPr>
        <xdr:cNvSpPr/>
      </xdr:nvSpPr>
      <xdr:spPr>
        <a:xfrm>
          <a:off x="3436620" y="4267200"/>
          <a:ext cx="1852440" cy="435600"/>
        </a:xfrm>
        <a:prstGeom prst="roundRect">
          <a:avLst/>
        </a:prstGeom>
        <a:solidFill>
          <a:srgbClr val="F58C51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7229C-928B-4458-9703-8DD79ED84407}" name="Tabela1" displayName="Tabela1" ref="D7:F25" totalsRowCount="1" headerRowDxfId="23" dataDxfId="22">
  <autoFilter ref="D7:F24" xr:uid="{6FD7229C-928B-4458-9703-8DD79ED84407}"/>
  <tableColumns count="3">
    <tableColumn id="1" xr3:uid="{A239B800-6E56-4A05-911B-59133256271E}" name="DATA" dataDxfId="21" totalsRowDxfId="20"/>
    <tableColumn id="2" xr3:uid="{FA20ADD8-9B0D-4E31-B976-E6FDD1A1C53A}" name="CATEGORIA" dataDxfId="19" totalsRowDxfId="18"/>
    <tableColumn id="3" xr3:uid="{8A0A9709-C50F-400D-9E73-7E6A01688B1E}" name="VALOR" totalsRowFunction="sum" dataDxfId="17" totalsRowDxfId="16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ED70C4-0B39-455A-8E82-96355E14F78D}" name="Tabela2" displayName="Tabela2" ref="D7:F8" insertRowShift="1" totalsRowShown="0" dataDxfId="15">
  <autoFilter ref="D7:F8" xr:uid="{19ED70C4-0B39-455A-8E82-96355E14F78D}"/>
  <tableColumns count="3">
    <tableColumn id="1" xr3:uid="{464F9F57-B3A7-43A0-A5F6-359A270DC79D}" name="Tipo" dataDxfId="14"/>
    <tableColumn id="2" xr3:uid="{939B258D-6043-44F5-AA20-6EC910477211}" name="Valor última declaração :" dataDxfId="13"/>
    <tableColumn id="3" xr3:uid="{FD882548-A911-4D7A-A06F-5E3EB8FE03BF}" name="Valor atual:" dataDxfId="12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1EBE69-BBF2-46EF-A14A-ED0CD8406EC7}" name="Tabela29" displayName="Tabela29" ref="D11:F12" insertRowShift="1" totalsRowShown="0" dataDxfId="11">
  <autoFilter ref="D11:F12" xr:uid="{5F1EBE69-BBF2-46EF-A14A-ED0CD8406EC7}"/>
  <tableColumns count="3">
    <tableColumn id="1" xr3:uid="{D2A48061-254F-4443-BBE3-D7D61BFA9E56}" name="Tipo" dataDxfId="10"/>
    <tableColumn id="2" xr3:uid="{1B10BC5C-2CA6-4909-A712-F737EE234682}" name="Valor última declaração :" dataDxfId="9"/>
    <tableColumn id="3" xr3:uid="{2EBC0E8D-F905-4973-97C2-8951051F38B7}" name="Valor atual:" dataDxfId="8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B5FFE8-77BF-400B-9F33-75707A823648}" name="Tabela2910" displayName="Tabela2910" ref="D15:F16" insertRowShift="1" totalsRowShown="0" dataDxfId="7">
  <autoFilter ref="D15:F16" xr:uid="{34B5FFE8-77BF-400B-9F33-75707A823648}"/>
  <tableColumns count="3">
    <tableColumn id="1" xr3:uid="{692AB8BD-B7AE-491F-B76A-7218C43996C4}" name="Tipo" dataDxfId="6"/>
    <tableColumn id="2" xr3:uid="{65611112-FCCD-4FB5-84B0-EB12C6126B8D}" name="Valor última declaração :" dataDxfId="5"/>
    <tableColumn id="3" xr3:uid="{896D59A0-EE9E-4068-A9B5-7436636B8050}" name="Valor atual:" dataDxfId="4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20F10C-23EA-4A58-BE64-9E1B60CB3508}" name="Tabela291011" displayName="Tabela291011" ref="D19:F20" insertRowShift="1" totalsRowShown="0" dataDxfId="3">
  <autoFilter ref="D19:F20" xr:uid="{E020F10C-23EA-4A58-BE64-9E1B60CB3508}"/>
  <tableColumns count="3">
    <tableColumn id="1" xr3:uid="{A148CFF5-6278-4B76-AA09-A97547367394}" name="Tipo" dataDxfId="2"/>
    <tableColumn id="2" xr3:uid="{E33CE85E-C4E7-4638-AD2F-9E58A4FF3B4E}" name="Valor última declaração :" dataDxfId="1"/>
    <tableColumn id="3" xr3:uid="{50B55246-C7F3-49D4-85E9-0FDD286AB52C}" name="Valor atual: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ojorda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98D0-C4C2-42C8-A763-57567183902A}">
  <dimension ref="A3:E20"/>
  <sheetViews>
    <sheetView showGridLines="0" showRowColHeaders="0" tabSelected="1" workbookViewId="0">
      <selection activeCell="C1" sqref="C1"/>
    </sheetView>
  </sheetViews>
  <sheetFormatPr defaultRowHeight="14.4" x14ac:dyDescent="0.3"/>
  <cols>
    <col min="1" max="1" width="32.33203125" style="6" customWidth="1"/>
    <col min="4" max="5" width="37.77734375" customWidth="1"/>
  </cols>
  <sheetData>
    <row r="3" spans="4:5" ht="20.399999999999999" thickBot="1" x14ac:dyDescent="0.45">
      <c r="D3" s="15" t="s">
        <v>14</v>
      </c>
      <c r="E3" s="1"/>
    </row>
    <row r="4" spans="4:5" ht="19.95" customHeight="1" thickTop="1" x14ac:dyDescent="0.3">
      <c r="D4" s="35" t="s">
        <v>15</v>
      </c>
      <c r="E4" s="35"/>
    </row>
    <row r="7" spans="4:5" x14ac:dyDescent="0.3">
      <c r="D7" s="14" t="s">
        <v>0</v>
      </c>
      <c r="E7" s="7" t="s">
        <v>18</v>
      </c>
    </row>
    <row r="8" spans="4:5" x14ac:dyDescent="0.3">
      <c r="D8" s="14" t="s">
        <v>1</v>
      </c>
      <c r="E8" s="8">
        <v>15122873612</v>
      </c>
    </row>
    <row r="9" spans="4:5" x14ac:dyDescent="0.3">
      <c r="D9" s="14" t="s">
        <v>2</v>
      </c>
      <c r="E9" s="9">
        <v>29788</v>
      </c>
    </row>
    <row r="10" spans="4:5" x14ac:dyDescent="0.3">
      <c r="D10" s="14" t="s">
        <v>3</v>
      </c>
      <c r="E10" s="7">
        <v>65987413</v>
      </c>
    </row>
    <row r="11" spans="4:5" x14ac:dyDescent="0.3">
      <c r="D11" s="14" t="s">
        <v>4</v>
      </c>
      <c r="E11" s="7" t="s">
        <v>19</v>
      </c>
    </row>
    <row r="12" spans="4:5" x14ac:dyDescent="0.3">
      <c r="D12" s="14" t="s">
        <v>5</v>
      </c>
      <c r="E12" s="7" t="s">
        <v>20</v>
      </c>
    </row>
    <row r="13" spans="4:5" x14ac:dyDescent="0.3">
      <c r="D13" s="14" t="s">
        <v>6</v>
      </c>
      <c r="E13" s="7" t="s">
        <v>21</v>
      </c>
    </row>
    <row r="14" spans="4:5" x14ac:dyDescent="0.3">
      <c r="D14" s="14" t="s">
        <v>7</v>
      </c>
      <c r="E14" s="10">
        <v>2897011</v>
      </c>
    </row>
    <row r="15" spans="4:5" x14ac:dyDescent="0.3">
      <c r="D15" s="14" t="s">
        <v>8</v>
      </c>
      <c r="E15" s="11">
        <v>2112548796</v>
      </c>
    </row>
    <row r="16" spans="4:5" x14ac:dyDescent="0.3">
      <c r="D16" s="14" t="s">
        <v>9</v>
      </c>
      <c r="E16" s="12">
        <v>21912548796</v>
      </c>
    </row>
    <row r="17" spans="4:5" x14ac:dyDescent="0.3">
      <c r="D17" s="14" t="s">
        <v>10</v>
      </c>
      <c r="E17" s="13" t="s">
        <v>22</v>
      </c>
    </row>
    <row r="18" spans="4:5" x14ac:dyDescent="0.3">
      <c r="D18" s="14" t="s">
        <v>11</v>
      </c>
      <c r="E18" s="7" t="s">
        <v>17</v>
      </c>
    </row>
    <row r="19" spans="4:5" x14ac:dyDescent="0.3">
      <c r="D19" s="14" t="s">
        <v>12</v>
      </c>
      <c r="E19" s="7" t="s">
        <v>16</v>
      </c>
    </row>
    <row r="20" spans="4:5" x14ac:dyDescent="0.3">
      <c r="D20" s="14" t="s">
        <v>13</v>
      </c>
      <c r="E20" s="7" t="s">
        <v>16</v>
      </c>
    </row>
  </sheetData>
  <mergeCells count="1">
    <mergeCell ref="D4:E4"/>
  </mergeCells>
  <dataValidations count="1">
    <dataValidation type="list" allowBlank="1" showInputMessage="1" showErrorMessage="1" sqref="E18:E20" xr:uid="{34E354D4-5692-4E59-B083-F7EF59D770D4}">
      <formula1>"SIM,NÃO"</formula1>
    </dataValidation>
  </dataValidations>
  <hyperlinks>
    <hyperlink ref="E17" r:id="rId1" xr:uid="{989B7FA6-D1E7-4FED-A846-BF59DE93AB3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2295-8DAE-4126-AEC4-B3628344549D}">
  <dimension ref="A3:E19"/>
  <sheetViews>
    <sheetView showGridLines="0" showRowColHeaders="0" zoomScaleNormal="100" workbookViewId="0">
      <selection activeCell="C1" sqref="C1"/>
    </sheetView>
  </sheetViews>
  <sheetFormatPr defaultRowHeight="14.4" x14ac:dyDescent="0.3"/>
  <cols>
    <col min="1" max="1" width="32.33203125" style="6" customWidth="1"/>
    <col min="4" max="5" width="37.77734375" customWidth="1"/>
  </cols>
  <sheetData>
    <row r="3" spans="1:5" ht="20.399999999999999" thickBot="1" x14ac:dyDescent="0.45">
      <c r="D3" s="5" t="s">
        <v>23</v>
      </c>
      <c r="E3" s="1"/>
    </row>
    <row r="4" spans="1:5" s="4" customFormat="1" ht="19.95" customHeight="1" thickTop="1" x14ac:dyDescent="0.3">
      <c r="A4" s="16"/>
      <c r="D4" s="35" t="s">
        <v>24</v>
      </c>
      <c r="E4" s="35"/>
    </row>
    <row r="6" spans="1:5" x14ac:dyDescent="0.3">
      <c r="D6" s="38" t="s">
        <v>82</v>
      </c>
      <c r="E6" s="38"/>
    </row>
    <row r="7" spans="1:5" x14ac:dyDescent="0.3">
      <c r="D7" s="36">
        <f>SUM(E10,E14,E18)</f>
        <v>25200</v>
      </c>
      <c r="E7" s="37"/>
    </row>
    <row r="9" spans="1:5" x14ac:dyDescent="0.3">
      <c r="D9" s="14" t="s">
        <v>25</v>
      </c>
      <c r="E9" s="7" t="s">
        <v>30</v>
      </c>
    </row>
    <row r="10" spans="1:5" x14ac:dyDescent="0.3">
      <c r="D10" s="14" t="s">
        <v>26</v>
      </c>
      <c r="E10" s="17">
        <v>13000</v>
      </c>
    </row>
    <row r="11" spans="1:5" x14ac:dyDescent="0.3">
      <c r="D11" s="14" t="s">
        <v>27</v>
      </c>
      <c r="E11" s="7" t="s">
        <v>28</v>
      </c>
    </row>
    <row r="13" spans="1:5" x14ac:dyDescent="0.3">
      <c r="D13" s="14" t="s">
        <v>25</v>
      </c>
      <c r="E13" s="7" t="s">
        <v>36</v>
      </c>
    </row>
    <row r="14" spans="1:5" x14ac:dyDescent="0.3">
      <c r="D14" s="14" t="s">
        <v>26</v>
      </c>
      <c r="E14" s="17">
        <v>9000</v>
      </c>
    </row>
    <row r="15" spans="1:5" x14ac:dyDescent="0.3">
      <c r="D15" s="14" t="s">
        <v>27</v>
      </c>
      <c r="E15" s="7" t="s">
        <v>80</v>
      </c>
    </row>
    <row r="17" spans="4:5" x14ac:dyDescent="0.3">
      <c r="D17" s="14" t="s">
        <v>25</v>
      </c>
      <c r="E17" s="7" t="s">
        <v>50</v>
      </c>
    </row>
    <row r="18" spans="4:5" x14ac:dyDescent="0.3">
      <c r="D18" s="14" t="s">
        <v>26</v>
      </c>
      <c r="E18" s="17">
        <v>3200</v>
      </c>
    </row>
    <row r="19" spans="4:5" x14ac:dyDescent="0.3">
      <c r="D19" s="14" t="s">
        <v>27</v>
      </c>
      <c r="E19" s="7" t="s">
        <v>81</v>
      </c>
    </row>
  </sheetData>
  <mergeCells count="3">
    <mergeCell ref="D4:E4"/>
    <mergeCell ref="D7:E7"/>
    <mergeCell ref="D6:E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sira um banco existente" promptTitle="Insira" prompt="Insira um banco vínculado ao seu CPF" xr:uid="{2857E3BB-41C9-4B9F-9635-7ABFF6735C30}">
          <x14:formula1>
            <xm:f>Planilha1!$A$2:$A$51</xm:f>
          </x14:formula1>
          <xm:sqref>E9 E13 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67ED-F780-4505-9BC9-5EBA5580C76E}">
  <dimension ref="A3:F25"/>
  <sheetViews>
    <sheetView showGridLines="0" showRowColHeaders="0" zoomScaleNormal="100" workbookViewId="0">
      <selection activeCell="C1" sqref="C1"/>
    </sheetView>
  </sheetViews>
  <sheetFormatPr defaultRowHeight="14.4" x14ac:dyDescent="0.3"/>
  <cols>
    <col min="1" max="1" width="32.33203125" style="6" customWidth="1"/>
    <col min="4" max="4" width="23.33203125" customWidth="1"/>
    <col min="5" max="5" width="25.21875" customWidth="1"/>
    <col min="6" max="6" width="23.44140625" customWidth="1"/>
  </cols>
  <sheetData>
    <row r="3" spans="1:6" ht="20.399999999999999" thickBot="1" x14ac:dyDescent="0.45">
      <c r="D3" s="5" t="s">
        <v>84</v>
      </c>
      <c r="E3" s="1"/>
      <c r="F3" s="1"/>
    </row>
    <row r="4" spans="1:6" s="3" customFormat="1" ht="19.95" customHeight="1" thickTop="1" x14ac:dyDescent="0.3">
      <c r="A4" s="18"/>
      <c r="D4" s="40" t="s">
        <v>83</v>
      </c>
      <c r="E4" s="40"/>
      <c r="F4" s="40"/>
    </row>
    <row r="6" spans="1:6" x14ac:dyDescent="0.3">
      <c r="D6" s="39" t="s">
        <v>85</v>
      </c>
      <c r="E6" s="39"/>
      <c r="F6" s="39"/>
    </row>
    <row r="7" spans="1:6" x14ac:dyDescent="0.3">
      <c r="D7" s="19" t="s">
        <v>86</v>
      </c>
      <c r="E7" s="19" t="s">
        <v>87</v>
      </c>
      <c r="F7" s="19" t="s">
        <v>88</v>
      </c>
    </row>
    <row r="8" spans="1:6" x14ac:dyDescent="0.3">
      <c r="D8" s="23">
        <v>45662</v>
      </c>
      <c r="E8" s="24" t="s">
        <v>89</v>
      </c>
      <c r="F8" s="25">
        <v>4900</v>
      </c>
    </row>
    <row r="9" spans="1:6" x14ac:dyDescent="0.3">
      <c r="D9" s="20">
        <v>45693</v>
      </c>
      <c r="E9" s="21" t="s">
        <v>89</v>
      </c>
      <c r="F9" s="22">
        <v>4900</v>
      </c>
    </row>
    <row r="10" spans="1:6" x14ac:dyDescent="0.3">
      <c r="D10" s="23">
        <v>45711</v>
      </c>
      <c r="E10" s="24" t="s">
        <v>90</v>
      </c>
      <c r="F10" s="25">
        <v>2200</v>
      </c>
    </row>
    <row r="11" spans="1:6" x14ac:dyDescent="0.3">
      <c r="D11" s="26">
        <v>45721</v>
      </c>
      <c r="E11" s="27" t="s">
        <v>89</v>
      </c>
      <c r="F11" s="28">
        <v>4900</v>
      </c>
    </row>
    <row r="12" spans="1:6" x14ac:dyDescent="0.3">
      <c r="D12" s="23">
        <v>45752</v>
      </c>
      <c r="E12" s="24" t="s">
        <v>89</v>
      </c>
      <c r="F12" s="25">
        <v>4900</v>
      </c>
    </row>
    <row r="13" spans="1:6" x14ac:dyDescent="0.3">
      <c r="D13" s="26">
        <v>45782</v>
      </c>
      <c r="E13" s="27" t="s">
        <v>89</v>
      </c>
      <c r="F13" s="28">
        <v>4900</v>
      </c>
    </row>
    <row r="14" spans="1:6" x14ac:dyDescent="0.3">
      <c r="D14" s="23">
        <v>45813</v>
      </c>
      <c r="E14" s="24" t="s">
        <v>89</v>
      </c>
      <c r="F14" s="25">
        <v>4900</v>
      </c>
    </row>
    <row r="15" spans="1:6" x14ac:dyDescent="0.3">
      <c r="D15" s="20">
        <v>45820</v>
      </c>
      <c r="E15" s="21" t="s">
        <v>90</v>
      </c>
      <c r="F15" s="22">
        <v>900</v>
      </c>
    </row>
    <row r="16" spans="1:6" x14ac:dyDescent="0.3">
      <c r="D16" s="23">
        <v>45826</v>
      </c>
      <c r="E16" s="24" t="s">
        <v>90</v>
      </c>
      <c r="F16" s="25">
        <v>550</v>
      </c>
    </row>
    <row r="17" spans="4:6" x14ac:dyDescent="0.3">
      <c r="D17" s="26">
        <v>45843</v>
      </c>
      <c r="E17" s="27" t="s">
        <v>89</v>
      </c>
      <c r="F17" s="28">
        <v>4900</v>
      </c>
    </row>
    <row r="18" spans="4:6" x14ac:dyDescent="0.3">
      <c r="D18" s="23">
        <v>45870</v>
      </c>
      <c r="E18" s="24" t="s">
        <v>90</v>
      </c>
      <c r="F18" s="25">
        <v>1350</v>
      </c>
    </row>
    <row r="19" spans="4:6" x14ac:dyDescent="0.3">
      <c r="D19" s="20">
        <v>45874</v>
      </c>
      <c r="E19" s="21" t="s">
        <v>89</v>
      </c>
      <c r="F19" s="22">
        <v>4900</v>
      </c>
    </row>
    <row r="20" spans="4:6" x14ac:dyDescent="0.3">
      <c r="D20" s="23">
        <v>45893</v>
      </c>
      <c r="E20" s="24" t="s">
        <v>90</v>
      </c>
      <c r="F20" s="25">
        <v>845</v>
      </c>
    </row>
    <row r="21" spans="4:6" x14ac:dyDescent="0.3">
      <c r="D21" s="26">
        <v>45905</v>
      </c>
      <c r="E21" s="27" t="s">
        <v>89</v>
      </c>
      <c r="F21" s="28">
        <v>4900</v>
      </c>
    </row>
    <row r="22" spans="4:6" x14ac:dyDescent="0.3">
      <c r="D22" s="23">
        <v>45910</v>
      </c>
      <c r="E22" s="24" t="s">
        <v>90</v>
      </c>
      <c r="F22" s="25">
        <v>210</v>
      </c>
    </row>
    <row r="23" spans="4:6" x14ac:dyDescent="0.3">
      <c r="D23" s="20">
        <v>45935</v>
      </c>
      <c r="E23" s="21" t="s">
        <v>89</v>
      </c>
      <c r="F23" s="22">
        <v>4900</v>
      </c>
    </row>
    <row r="24" spans="4:6" x14ac:dyDescent="0.3">
      <c r="D24" s="23">
        <v>45966</v>
      </c>
      <c r="E24" s="24" t="s">
        <v>89</v>
      </c>
      <c r="F24" s="25">
        <v>4900</v>
      </c>
    </row>
    <row r="25" spans="4:6" x14ac:dyDescent="0.3">
      <c r="D25" s="21"/>
      <c r="E25" s="29"/>
      <c r="F25" s="22">
        <f>SUBTOTAL(109,Tabela1[VALOR])</f>
        <v>59955</v>
      </c>
    </row>
  </sheetData>
  <mergeCells count="2">
    <mergeCell ref="D6:F6"/>
    <mergeCell ref="D4:F4"/>
  </mergeCells>
  <dataValidations count="1">
    <dataValidation type="list" allowBlank="1" showInputMessage="1" showErrorMessage="1" sqref="E8:E24" xr:uid="{C5CF3183-75F3-4AEB-A443-CBC780652496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DB2B-D436-4B7F-B257-3E576C0D0175}">
  <dimension ref="A3:F20"/>
  <sheetViews>
    <sheetView showGridLines="0" showRowColHeaders="0" workbookViewId="0">
      <selection activeCell="C1" sqref="C1"/>
    </sheetView>
  </sheetViews>
  <sheetFormatPr defaultRowHeight="14.4" x14ac:dyDescent="0.3"/>
  <cols>
    <col min="1" max="1" width="32.33203125" style="6" customWidth="1"/>
    <col min="4" max="4" width="17.109375" customWidth="1"/>
    <col min="5" max="5" width="24.21875" bestFit="1" customWidth="1"/>
    <col min="6" max="6" width="18.44140625" customWidth="1"/>
  </cols>
  <sheetData>
    <row r="3" spans="1:6" ht="20.399999999999999" thickBot="1" x14ac:dyDescent="0.45">
      <c r="D3" s="31" t="s">
        <v>91</v>
      </c>
      <c r="E3" s="32"/>
      <c r="F3" s="32"/>
    </row>
    <row r="4" spans="1:6" ht="19.95" customHeight="1" x14ac:dyDescent="0.3">
      <c r="A4" s="18"/>
      <c r="D4" s="41" t="s">
        <v>92</v>
      </c>
      <c r="E4" s="41"/>
      <c r="F4" s="41"/>
    </row>
    <row r="6" spans="1:6" ht="18.600000000000001" customHeight="1" x14ac:dyDescent="0.3">
      <c r="D6" s="42" t="s">
        <v>93</v>
      </c>
      <c r="E6" s="42"/>
      <c r="F6" s="42"/>
    </row>
    <row r="7" spans="1:6" x14ac:dyDescent="0.3">
      <c r="D7" t="s">
        <v>95</v>
      </c>
      <c r="E7" t="s">
        <v>114</v>
      </c>
      <c r="F7" t="s">
        <v>115</v>
      </c>
    </row>
    <row r="8" spans="1:6" x14ac:dyDescent="0.3">
      <c r="D8" s="34" t="s">
        <v>94</v>
      </c>
      <c r="E8" s="33">
        <v>450000</v>
      </c>
      <c r="F8" s="33">
        <v>498000</v>
      </c>
    </row>
    <row r="9" spans="1:6" x14ac:dyDescent="0.3">
      <c r="D9" s="43"/>
      <c r="E9" s="43"/>
      <c r="F9" s="43"/>
    </row>
    <row r="10" spans="1:6" ht="15.6" x14ac:dyDescent="0.3">
      <c r="D10" s="42" t="s">
        <v>96</v>
      </c>
      <c r="E10" s="42"/>
      <c r="F10" s="42"/>
    </row>
    <row r="11" spans="1:6" x14ac:dyDescent="0.3">
      <c r="D11" t="s">
        <v>95</v>
      </c>
      <c r="E11" t="s">
        <v>114</v>
      </c>
      <c r="F11" t="s">
        <v>115</v>
      </c>
    </row>
    <row r="12" spans="1:6" x14ac:dyDescent="0.3">
      <c r="D12" s="34" t="s">
        <v>102</v>
      </c>
      <c r="E12" s="33">
        <v>76750</v>
      </c>
      <c r="F12" s="33">
        <v>71750</v>
      </c>
    </row>
    <row r="14" spans="1:6" ht="15.6" x14ac:dyDescent="0.3">
      <c r="D14" s="42" t="s">
        <v>97</v>
      </c>
      <c r="E14" s="42"/>
      <c r="F14" s="42"/>
    </row>
    <row r="15" spans="1:6" x14ac:dyDescent="0.3">
      <c r="D15" t="s">
        <v>95</v>
      </c>
      <c r="E15" t="s">
        <v>114</v>
      </c>
      <c r="F15" t="s">
        <v>115</v>
      </c>
    </row>
    <row r="16" spans="1:6" x14ac:dyDescent="0.3">
      <c r="D16" s="34" t="s">
        <v>108</v>
      </c>
      <c r="E16" s="33">
        <v>550</v>
      </c>
      <c r="F16" s="33">
        <v>1000</v>
      </c>
    </row>
    <row r="18" spans="4:6" ht="15.6" x14ac:dyDescent="0.3">
      <c r="D18" s="42" t="s">
        <v>98</v>
      </c>
      <c r="E18" s="42"/>
      <c r="F18" s="42"/>
    </row>
    <row r="19" spans="4:6" x14ac:dyDescent="0.3">
      <c r="D19" t="s">
        <v>95</v>
      </c>
      <c r="E19" t="s">
        <v>114</v>
      </c>
      <c r="F19" t="s">
        <v>115</v>
      </c>
    </row>
    <row r="20" spans="4:6" x14ac:dyDescent="0.3">
      <c r="D20" s="34" t="s">
        <v>112</v>
      </c>
      <c r="E20" s="33">
        <v>2000</v>
      </c>
      <c r="F20" s="33">
        <v>3200</v>
      </c>
    </row>
  </sheetData>
  <mergeCells count="6">
    <mergeCell ref="D4:F4"/>
    <mergeCell ref="D18:F18"/>
    <mergeCell ref="D9:F9"/>
    <mergeCell ref="D6:F6"/>
    <mergeCell ref="D10:F10"/>
    <mergeCell ref="D14:F14"/>
  </mergeCells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3B825B-476D-4064-AD7A-2CA6FAA47DA0}">
          <x14:formula1>
            <xm:f>Planilha2!$A$1:$A$4</xm:f>
          </x14:formula1>
          <xm:sqref>D8</xm:sqref>
        </x14:dataValidation>
        <x14:dataValidation type="list" allowBlank="1" showInputMessage="1" showErrorMessage="1" xr:uid="{A263F076-686A-4E5B-BD79-49E1EEBD35E2}">
          <x14:formula1>
            <xm:f>Planilha2!$A$6:$A$11</xm:f>
          </x14:formula1>
          <xm:sqref>D12</xm:sqref>
        </x14:dataValidation>
        <x14:dataValidation type="list" allowBlank="1" showInputMessage="1" showErrorMessage="1" xr:uid="{BD3B1D78-E4B6-4ECB-9D70-564D1451F6CF}">
          <x14:formula1>
            <xm:f>Planilha2!$A$13:$A$14</xm:f>
          </x14:formula1>
          <xm:sqref>D16</xm:sqref>
        </x14:dataValidation>
        <x14:dataValidation type="list" allowBlank="1" showInputMessage="1" showErrorMessage="1" xr:uid="{047C4F53-9C78-4D2C-8B57-91D0D8B2E4AA}">
          <x14:formula1>
            <xm:f>Planilha2!$A$16:$A$19</xm:f>
          </x14:formula1>
          <xm:sqref>D20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B709-7B85-4D1F-9321-E23C9AF39A01}">
  <dimension ref="A1:A19"/>
  <sheetViews>
    <sheetView workbookViewId="0">
      <selection activeCell="E18" sqref="E18"/>
    </sheetView>
  </sheetViews>
  <sheetFormatPr defaultRowHeight="14.4" x14ac:dyDescent="0.3"/>
  <cols>
    <col min="1" max="1" width="36.77734375" bestFit="1" customWidth="1"/>
  </cols>
  <sheetData>
    <row r="1" spans="1:1" x14ac:dyDescent="0.3">
      <c r="A1" s="30" t="s">
        <v>94</v>
      </c>
    </row>
    <row r="2" spans="1:1" x14ac:dyDescent="0.3">
      <c r="A2" t="s">
        <v>99</v>
      </c>
    </row>
    <row r="3" spans="1:1" x14ac:dyDescent="0.3">
      <c r="A3" t="s">
        <v>100</v>
      </c>
    </row>
    <row r="4" spans="1:1" x14ac:dyDescent="0.3">
      <c r="A4" t="s">
        <v>101</v>
      </c>
    </row>
    <row r="6" spans="1:1" x14ac:dyDescent="0.3">
      <c r="A6" t="s">
        <v>102</v>
      </c>
    </row>
    <row r="7" spans="1:1" x14ac:dyDescent="0.3">
      <c r="A7" t="s">
        <v>104</v>
      </c>
    </row>
    <row r="8" spans="1:1" x14ac:dyDescent="0.3">
      <c r="A8" t="s">
        <v>103</v>
      </c>
    </row>
    <row r="9" spans="1:1" x14ac:dyDescent="0.3">
      <c r="A9" t="s">
        <v>105</v>
      </c>
    </row>
    <row r="10" spans="1:1" x14ac:dyDescent="0.3">
      <c r="A10" t="s">
        <v>106</v>
      </c>
    </row>
    <row r="11" spans="1:1" x14ac:dyDescent="0.3">
      <c r="A11" t="s">
        <v>107</v>
      </c>
    </row>
    <row r="13" spans="1:1" x14ac:dyDescent="0.3">
      <c r="A13" t="s">
        <v>108</v>
      </c>
    </row>
    <row r="14" spans="1:1" x14ac:dyDescent="0.3">
      <c r="A14" t="s">
        <v>109</v>
      </c>
    </row>
    <row r="16" spans="1:1" x14ac:dyDescent="0.3">
      <c r="A16" t="s">
        <v>112</v>
      </c>
    </row>
    <row r="17" spans="1:1" x14ac:dyDescent="0.3">
      <c r="A17" t="s">
        <v>110</v>
      </c>
    </row>
    <row r="18" spans="1:1" x14ac:dyDescent="0.3">
      <c r="A18" t="s">
        <v>111</v>
      </c>
    </row>
    <row r="19" spans="1:1" x14ac:dyDescent="0.3">
      <c r="A19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7B19-9E48-41CA-97FC-D74E8C9E65E4}">
  <dimension ref="A1:A51"/>
  <sheetViews>
    <sheetView topLeftCell="A25" workbookViewId="0"/>
  </sheetViews>
  <sheetFormatPr defaultRowHeight="14.4" x14ac:dyDescent="0.3"/>
  <cols>
    <col min="1" max="1" width="34.88671875" bestFit="1" customWidth="1"/>
  </cols>
  <sheetData>
    <row r="1" spans="1:1" x14ac:dyDescent="0.3">
      <c r="A1" s="2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74</v>
      </c>
    </row>
    <row r="47" spans="1:1" x14ac:dyDescent="0.3">
      <c r="A47" t="s">
        <v>75</v>
      </c>
    </row>
    <row r="48" spans="1:1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NOTAS</vt:lpstr>
      <vt:lpstr>BENS E DIREITOS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IBFC Instituto</dc:creator>
  <cp:lastModifiedBy>IBFC Instituto</cp:lastModifiedBy>
  <dcterms:created xsi:type="dcterms:W3CDTF">2026-09-28T18:03:30Z</dcterms:created>
  <dcterms:modified xsi:type="dcterms:W3CDTF">2026-10-14T14:37:39Z</dcterms:modified>
</cp:coreProperties>
</file>